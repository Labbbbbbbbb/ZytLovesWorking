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9CA9A95-6A7D-41F7-A04D-DCAD8F4675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4" i="1" l="1"/>
  <c r="L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A8" i="1"/>
  <c r="L7" i="1"/>
  <c r="B64" i="1" s="1"/>
  <c r="A7" i="1"/>
</calcChain>
</file>

<file path=xl/sharedStrings.xml><?xml version="1.0" encoding="utf-8"?>
<sst xmlns="http://schemas.openxmlformats.org/spreadsheetml/2006/main" count="582" uniqueCount="287">
  <si>
    <t/>
  </si>
  <si>
    <t xml:space="preserve">Bill of Materials </t>
  </si>
  <si>
    <t>BOM_Board1_PCB1_2025-09-02</t>
  </si>
  <si>
    <t>Project Title：</t>
  </si>
  <si>
    <t>zdiy1</t>
  </si>
  <si>
    <t>Variant:</t>
  </si>
  <si>
    <t xml:space="preserve"> </t>
  </si>
  <si>
    <t>Report Time：</t>
  </si>
  <si>
    <t>2025年9月2日 16:5:25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</si>
  <si>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</si>
  <si>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</si>
  <si>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</si>
  <si>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</si>
  <si>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</si>
  <si>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</si>
  <si>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</si>
  <si>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</si>
  <si>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</si>
  <si>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</si>
  <si>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</si>
  <si>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</si>
  <si>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AMS1117-3.3</t>
  </si>
  <si>
    <t>AMS1117</t>
  </si>
  <si>
    <t>SOT-223-4_L6.5-W3.5-P2.30-LS7.0-BR</t>
  </si>
  <si>
    <t>UMW(友台半导体)</t>
  </si>
  <si>
    <t>C347222</t>
  </si>
  <si>
    <t>LCSC</t>
  </si>
  <si>
    <t>WAFER-PH2.0-2PWZ</t>
  </si>
  <si>
    <t>BATTERY</t>
  </si>
  <si>
    <t>CONN-TH_2P-P2.00_GP01-2001WR-2P</t>
  </si>
  <si>
    <t>XUNPU(讯普)</t>
  </si>
  <si>
    <t>C5359610</t>
  </si>
  <si>
    <t>10kΩ</t>
  </si>
  <si>
    <t>boothigh空, R7, R19, R20, R23, R28</t>
  </si>
  <si>
    <t>R0603</t>
  </si>
  <si>
    <t>0603WAF1002T5E</t>
  </si>
  <si>
    <t>UNI-ROYAL(厚声)</t>
  </si>
  <si>
    <t>C25804</t>
  </si>
  <si>
    <t>20pF</t>
  </si>
  <si>
    <t>C12, C13, C30, C31</t>
  </si>
  <si>
    <t>C0603</t>
  </si>
  <si>
    <t>CC0603JRNPO9BN200</t>
  </si>
  <si>
    <t>YAGEO(国巨)</t>
  </si>
  <si>
    <t>C105621</t>
  </si>
  <si>
    <t>10uF</t>
  </si>
  <si>
    <t>C16, Cip5306in</t>
  </si>
  <si>
    <t>CL10A106KP8NNNC</t>
  </si>
  <si>
    <t>SAMSUNG(三星)</t>
  </si>
  <si>
    <t>C19702</t>
  </si>
  <si>
    <t>22uF</t>
  </si>
  <si>
    <t>C22, C23, C29, Cip5306out1, Cip5306out2, Cip5306out3, Cip5306out4, Cmt3608</t>
  </si>
  <si>
    <t>CL10A226MQ8NRNC</t>
  </si>
  <si>
    <t>C59461</t>
  </si>
  <si>
    <t>10pF</t>
  </si>
  <si>
    <t>C24</t>
  </si>
  <si>
    <t>GRM1885C1H100GA01D</t>
  </si>
  <si>
    <t>muRata(村田)</t>
  </si>
  <si>
    <t>C2987939</t>
  </si>
  <si>
    <t>100pF</t>
  </si>
  <si>
    <t>C25, Cmpu</t>
  </si>
  <si>
    <t>CGA0603C0G101J500JT</t>
  </si>
  <si>
    <t>HRE(芯声)</t>
  </si>
  <si>
    <t>C45359929</t>
  </si>
  <si>
    <t>2.2uF</t>
  </si>
  <si>
    <t>C27</t>
  </si>
  <si>
    <t>CGA0603X7R225K100JT</t>
  </si>
  <si>
    <t>C23692975</t>
  </si>
  <si>
    <t>100nF</t>
  </si>
  <si>
    <t>Cams3v3, Cams5v</t>
  </si>
  <si>
    <t>CGA0603X7R104K500JT</t>
  </si>
  <si>
    <t>C6119867</t>
  </si>
  <si>
    <t>Cnrst, Cst_nrst1, Cst_vg1, Cst_vg2, Cst_vg3, Cst_vg4, Cvdd1, Cvdd2, Cvdd3, Cvdd4, Cvdd5</t>
  </si>
  <si>
    <t>CC0603KRX7R9BB104</t>
  </si>
  <si>
    <t>C14663</t>
  </si>
  <si>
    <t>4.7uF</t>
  </si>
  <si>
    <t>Cvdd6</t>
  </si>
  <si>
    <t>CL10A475KO8NNNC</t>
  </si>
  <si>
    <t>C19666</t>
  </si>
  <si>
    <t>1uF</t>
  </si>
  <si>
    <t>Cvdd7</t>
  </si>
  <si>
    <t>CL10A105KB8NNNC</t>
  </si>
  <si>
    <t>C15849</t>
  </si>
  <si>
    <t>10nF</t>
  </si>
  <si>
    <t>Cvdd8</t>
  </si>
  <si>
    <t>CC0603KRX7R9BB103</t>
  </si>
  <si>
    <t>C100042</t>
  </si>
  <si>
    <t>XL-J1608UGC-06</t>
  </si>
  <si>
    <t>D1, D2, D3, D4</t>
  </si>
  <si>
    <t>LED-SMD_XL-J1608UYC-06</t>
  </si>
  <si>
    <t>XINGLIGHT(成兴光)</t>
  </si>
  <si>
    <t>C48586668</t>
  </si>
  <si>
    <t>SS34</t>
  </si>
  <si>
    <t>D5</t>
  </si>
  <si>
    <t>SMA_L4.3-W2.6-LS5.2-RD</t>
  </si>
  <si>
    <t>MDD(辰达半导体)</t>
  </si>
  <si>
    <t>C8678</t>
  </si>
  <si>
    <t>SMAJ6.8CA</t>
  </si>
  <si>
    <t>D6</t>
  </si>
  <si>
    <t>SMA_L4.4-W2.6-LS5.0-BI</t>
  </si>
  <si>
    <t>BORN(伯恩半导体)</t>
  </si>
  <si>
    <t>C406209</t>
  </si>
  <si>
    <t>PM254V-11-03-H85</t>
  </si>
  <si>
    <t>DHT</t>
  </si>
  <si>
    <t>HDR-TH_3P-P2.54-V-F</t>
  </si>
  <si>
    <t>XFCN(兴飞)</t>
  </si>
  <si>
    <t>C541850</t>
  </si>
  <si>
    <t>BSMD0603-050-6V</t>
  </si>
  <si>
    <t>F1</t>
  </si>
  <si>
    <t>F0603</t>
  </si>
  <si>
    <t>BHFUSE(佰宏)</t>
  </si>
  <si>
    <t>C883095</t>
  </si>
  <si>
    <t>IP5306</t>
  </si>
  <si>
    <t>ESOP-8_L4.9-W3.9-P1.27-LS6.0-BL-EP</t>
  </si>
  <si>
    <t>INJOINIC(英集芯)</t>
  </si>
  <si>
    <t>C181692</t>
  </si>
  <si>
    <t>1uH</t>
  </si>
  <si>
    <t>L1</t>
  </si>
  <si>
    <t>L0603</t>
  </si>
  <si>
    <t>AHW1608F-1R0KTF</t>
  </si>
  <si>
    <t>APV(爱普微)</t>
  </si>
  <si>
    <t>C6364703</t>
  </si>
  <si>
    <t>4.7uH</t>
  </si>
  <si>
    <t>L2</t>
  </si>
  <si>
    <t>IND-SMD_L5.4-W5.2_FXL0530</t>
  </si>
  <si>
    <t>FXL0530-4R7-M</t>
  </si>
  <si>
    <t>cjiang(长江微电)</t>
  </si>
  <si>
    <t>C177246</t>
  </si>
  <si>
    <t>WAFER-PH2.0-6PWB</t>
  </si>
  <si>
    <t>Motor</t>
  </si>
  <si>
    <t>CONN-SMD_6P-P2.00_XUNPU_WAFER-PH2.0-6PWB</t>
  </si>
  <si>
    <t>C3029444</t>
  </si>
  <si>
    <t>HC-ZH1.5-6AW</t>
  </si>
  <si>
    <t>Motor_L, Motor_R</t>
  </si>
  <si>
    <t>CONN-TH_6P-P1.50_HCTL_C-ZH1.5-6AW</t>
  </si>
  <si>
    <t>HCTL(华灿天禄)</t>
  </si>
  <si>
    <t>C2845569</t>
  </si>
  <si>
    <t>MPU-6050</t>
  </si>
  <si>
    <t>MPU</t>
  </si>
  <si>
    <t>QFN-24_L4.0-W4.0-P0.50-BL-EP2.7</t>
  </si>
  <si>
    <t>TDK InvenSense(应美盛)</t>
  </si>
  <si>
    <t>C24112</t>
  </si>
  <si>
    <t>MT3608</t>
  </si>
  <si>
    <t>SOT-23-6_L2.9-W1.6-P0.95-LS2.8-BL</t>
  </si>
  <si>
    <t>西安航天民芯</t>
  </si>
  <si>
    <t>C84817</t>
  </si>
  <si>
    <t>PM254V-11-07-H85</t>
  </si>
  <si>
    <t>oled</t>
  </si>
  <si>
    <t>HDR-TH_7P-P2.54-V-F</t>
  </si>
  <si>
    <t>C2832270</t>
  </si>
  <si>
    <t>XL-2012UBC</t>
  </si>
  <si>
    <t>PB2LED, PC13LED, st_blue</t>
  </si>
  <si>
    <t>LED0805-RD</t>
  </si>
  <si>
    <t>C965817</t>
  </si>
  <si>
    <t>NCD0805R1</t>
  </si>
  <si>
    <t>POWER1, st_red</t>
  </si>
  <si>
    <t>LED0805-R-RD</t>
  </si>
  <si>
    <t>国星光电</t>
  </si>
  <si>
    <t>C84256</t>
  </si>
  <si>
    <t>TYPE-C母座16P不绣钢</t>
  </si>
  <si>
    <t>POWER, STLINKv2.1</t>
  </si>
  <si>
    <t>TYPE-C-SMD_16P-EH4</t>
  </si>
  <si>
    <t>C9900003726</t>
  </si>
  <si>
    <t>TS-1101-C-W</t>
  </si>
  <si>
    <t>POWER_DISPLAY, RESET</t>
  </si>
  <si>
    <t>SW-SMD_L6.0-W3.3-LS8.0</t>
  </si>
  <si>
    <t>XKB Connectivity(中国星坤)</t>
  </si>
  <si>
    <t>C318938</t>
  </si>
  <si>
    <t>SS-12D10G3-G</t>
  </si>
  <si>
    <t>POWER_SELECT</t>
  </si>
  <si>
    <t>SW-TH_3P-L12.7-W6.7-P4.80_SS-12D10G10-G</t>
  </si>
  <si>
    <t>C49284729</t>
  </si>
  <si>
    <t>S8050 J3Y(RANGE:200-350)</t>
  </si>
  <si>
    <t>Q1</t>
  </si>
  <si>
    <t>SOT-23-3_L3.0-W1.7-P0.95-LS2.9-BR</t>
  </si>
  <si>
    <t>CJ(江苏长电/长晶)</t>
  </si>
  <si>
    <t>C2146</t>
  </si>
  <si>
    <t>5.1K</t>
  </si>
  <si>
    <t>R1, R30, R31, R32, R35, R36</t>
  </si>
  <si>
    <t>4.7kΩ</t>
  </si>
  <si>
    <t>R4, R5, R6, R17, R18, R22</t>
  </si>
  <si>
    <t>0603WAF4701T5E</t>
  </si>
  <si>
    <t>C23162</t>
  </si>
  <si>
    <t>2Ω</t>
  </si>
  <si>
    <t>R8</t>
  </si>
  <si>
    <t>FRC0603J2R0 TS</t>
  </si>
  <si>
    <t>FOJAN(富捷)</t>
  </si>
  <si>
    <t>C2907139</t>
  </si>
  <si>
    <t>500mΩ</t>
  </si>
  <si>
    <t>R9</t>
  </si>
  <si>
    <t>0603WAF500LT5E</t>
  </si>
  <si>
    <t>C45312</t>
  </si>
  <si>
    <t>5.1kΩ</t>
  </si>
  <si>
    <t>R10, R11</t>
  </si>
  <si>
    <t>RT0603BRB075K1L</t>
  </si>
  <si>
    <t>C860455</t>
  </si>
  <si>
    <t>R12, R13, R14</t>
  </si>
  <si>
    <t>RCA034K7FLF</t>
  </si>
  <si>
    <t>HKR(香港电阻)</t>
  </si>
  <si>
    <t>C22369814</t>
  </si>
  <si>
    <t>9kΩ</t>
  </si>
  <si>
    <t>R15</t>
  </si>
  <si>
    <t>FRC0603F9001TS</t>
  </si>
  <si>
    <t>C2998085</t>
  </si>
  <si>
    <t>1kΩ</t>
  </si>
  <si>
    <t>R16</t>
  </si>
  <si>
    <t>0603WAF1001T5E</t>
  </si>
  <si>
    <t>C21190</t>
  </si>
  <si>
    <t>100Ω</t>
  </si>
  <si>
    <t>R21, R29</t>
  </si>
  <si>
    <t>0603WAF1000T5E</t>
  </si>
  <si>
    <t>C22775</t>
  </si>
  <si>
    <t>R24, R25</t>
  </si>
  <si>
    <t>0603WAF5101T5E</t>
  </si>
  <si>
    <t>C23186</t>
  </si>
  <si>
    <t>1.5kΩ</t>
  </si>
  <si>
    <t>R26</t>
  </si>
  <si>
    <t>0603WAF1501T5E</t>
  </si>
  <si>
    <t>C22843</t>
  </si>
  <si>
    <t>36kΩ</t>
  </si>
  <si>
    <t>R27</t>
  </si>
  <si>
    <t>FRC0603F3602TS</t>
  </si>
  <si>
    <t>C2930097</t>
  </si>
  <si>
    <t>510Ω</t>
  </si>
  <si>
    <t>R33, R34</t>
  </si>
  <si>
    <t>0603WAF5100T5E</t>
  </si>
  <si>
    <t>C23193</t>
  </si>
  <si>
    <t>STM32F103CBT6</t>
  </si>
  <si>
    <t>stlink</t>
  </si>
  <si>
    <t>LQFP-48_L7.0-W7.0-P0.50-LS9.0-BL</t>
  </si>
  <si>
    <t>ST(意法半导体)</t>
  </si>
  <si>
    <t>C8304</t>
  </si>
  <si>
    <t>IPCP254M04PB08V</t>
  </si>
  <si>
    <t>STLINK_SWD</t>
  </si>
  <si>
    <t>HDR-TH_4P-P2.54-V-M-1</t>
  </si>
  <si>
    <t>INCP</t>
  </si>
  <si>
    <t>C22438419</t>
  </si>
  <si>
    <t>STM32F103C8T6</t>
  </si>
  <si>
    <t>stm32</t>
  </si>
  <si>
    <t>C8734</t>
  </si>
  <si>
    <t>TS-1088R-02026</t>
  </si>
  <si>
    <t>SW1, SW2, SW3</t>
  </si>
  <si>
    <t>SW-SMD_L3.9-W3.0-P4.45</t>
  </si>
  <si>
    <t>C455280</t>
  </si>
  <si>
    <t>2.54-1*4P母</t>
  </si>
  <si>
    <t>SWD</t>
  </si>
  <si>
    <t>HDR-TH_4P-P2.54-V-F</t>
  </si>
  <si>
    <t>BOOMELE(博穆精密)</t>
  </si>
  <si>
    <t>C2718488</t>
  </si>
  <si>
    <t>WAFER-PH2.0-2PZZ</t>
  </si>
  <si>
    <t>U6, U7</t>
  </si>
  <si>
    <t>CONN-TH_2P-P2.00_HC-PH-2A-M</t>
  </si>
  <si>
    <t>C5359599</t>
  </si>
  <si>
    <t>PZ254V-11-03P</t>
  </si>
  <si>
    <t>usart1, usart3</t>
  </si>
  <si>
    <t>HDR-TH_3P-P2.54-V-M</t>
  </si>
  <si>
    <t>C2937625</t>
  </si>
  <si>
    <t>TYPE-C 16PIN 2MD(073)</t>
  </si>
  <si>
    <t>VCP</t>
  </si>
  <si>
    <t>USB-C-SMD_TYPE-C-6PIN-2MD-073</t>
  </si>
  <si>
    <t>SHOU HAN(首韩)</t>
  </si>
  <si>
    <t>C2765186</t>
  </si>
  <si>
    <t>MicroXNJ</t>
  </si>
  <si>
    <t>VCP_micro</t>
  </si>
  <si>
    <t>MICRO-USB-SMD_MICROXNJ</t>
  </si>
  <si>
    <t>C404969</t>
  </si>
  <si>
    <t>8MHz</t>
  </si>
  <si>
    <t>X1, X2</t>
  </si>
  <si>
    <t>OSC-TH_L10.0-W4.5-P5.00</t>
  </si>
  <si>
    <t>X49SD8MSD2SC</t>
  </si>
  <si>
    <t>YXC(扬兴晶振)</t>
  </si>
  <si>
    <t>C21263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</si>
  <si>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</si>
  <si>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</si>
  <si>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</si>
  <si>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</si>
  <si>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</si>
  <si>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</si>
  <si>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</si>
  <si>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</si>
  <si>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</si>
  <si>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16:5:25</t>
  </si>
  <si>
    <t>Report Date</t>
  </si>
  <si>
    <t>2025年9月2日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</si>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</sst>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\¥\-#,##0.00"/>
  </numFmts>
  <fonts count="4" x14ac:knownFonts="1">
    <font>
      <sz val="11"/>
      <color theme="1"/>
      <name val="宋体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76" fontId="1" fillId="3" borderId="3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1" fillId="0" borderId="3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10" workbookViewId="0">
      <selection activeCell="N38" sqref="N38"/>
    </sheetView>
  </sheetViews>
  <sheetFormatPr defaultColWidth="9" defaultRowHeight="14.25" customHeight="1" x14ac:dyDescent="0.15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ht="14.25" customHeight="1" x14ac:dyDescent="0.2">
      <c r="A1" s="9" t="s">
        <v>0</v>
      </c>
      <c r="B1" s="9"/>
      <c r="C1" s="9"/>
      <c r="D1" s="9"/>
      <c r="E1" s="10" t="s">
        <v>1</v>
      </c>
      <c r="F1" s="10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2">
      <c r="A2" s="9"/>
      <c r="B2" s="9"/>
      <c r="C2" s="9"/>
      <c r="D2" s="9"/>
      <c r="E2" s="10"/>
      <c r="F2" s="10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2">
      <c r="A3" s="9"/>
      <c r="B3" s="9"/>
      <c r="C3" s="9"/>
      <c r="D3" s="9"/>
      <c r="E3" s="2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2">
      <c r="A4" s="9"/>
      <c r="B4" s="9"/>
      <c r="C4" s="9"/>
      <c r="D4" s="9"/>
      <c r="E4" s="2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2">
      <c r="A5" s="9"/>
      <c r="B5" s="9"/>
      <c r="C5" s="9"/>
      <c r="D5" s="9"/>
      <c r="E5" s="2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2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14.25" customHeight="1" x14ac:dyDescent="0.2">
      <c r="A7" s="6">
        <f t="shared" ref="A7:A38" si="0">ROW()-6</f>
        <v>1</v>
      </c>
      <c r="B7" s="7">
        <v>1</v>
      </c>
      <c r="C7" s="7" t="s">
        <v>21</v>
      </c>
      <c r="D7" s="7" t="s">
        <v>22</v>
      </c>
      <c r="E7" s="7" t="s">
        <v>23</v>
      </c>
      <c r="F7" s="7" t="s">
        <v>0</v>
      </c>
      <c r="G7" s="7" t="s">
        <v>21</v>
      </c>
      <c r="H7" s="7" t="s">
        <v>24</v>
      </c>
      <c r="I7" s="7" t="s">
        <v>25</v>
      </c>
      <c r="J7" s="7" t="s">
        <v>26</v>
      </c>
      <c r="K7" s="7" t="s">
        <v>0</v>
      </c>
      <c r="L7" s="8" t="e">
        <f t="shared" ref="L7:L38" si="1">B7*K7</f>
        <v>#VALUE!</v>
      </c>
    </row>
    <row r="8" spans="1:12" ht="14.25" customHeight="1" x14ac:dyDescent="0.2">
      <c r="A8" s="6">
        <f t="shared" si="0"/>
        <v>2</v>
      </c>
      <c r="B8" s="7">
        <v>1</v>
      </c>
      <c r="C8" s="7"/>
      <c r="D8" s="7"/>
      <c r="E8" s="7"/>
      <c r="F8" s="7" t="s">
        <v>0</v>
      </c>
      <c r="G8" s="7" t="s">
        <v>0</v>
      </c>
      <c r="H8" s="7" t="s">
        <v>0</v>
      </c>
      <c r="I8" s="7" t="s">
        <v>0</v>
      </c>
      <c r="J8" s="7" t="s">
        <v>0</v>
      </c>
      <c r="K8" s="7" t="s">
        <v>0</v>
      </c>
      <c r="L8" s="8"/>
    </row>
    <row r="9" spans="1:12" ht="14.25" customHeight="1" x14ac:dyDescent="0.2">
      <c r="A9" s="6">
        <f t="shared" si="0"/>
        <v>3</v>
      </c>
      <c r="B9" s="7">
        <v>1</v>
      </c>
      <c r="C9" s="7" t="s">
        <v>27</v>
      </c>
      <c r="D9" s="7" t="s">
        <v>28</v>
      </c>
      <c r="E9" s="7" t="s">
        <v>29</v>
      </c>
      <c r="F9" s="7" t="s">
        <v>0</v>
      </c>
      <c r="G9" s="7" t="s">
        <v>27</v>
      </c>
      <c r="H9" s="7" t="s">
        <v>30</v>
      </c>
      <c r="I9" s="7" t="s">
        <v>31</v>
      </c>
      <c r="J9" s="7" t="s">
        <v>26</v>
      </c>
      <c r="K9" s="7" t="s">
        <v>0</v>
      </c>
      <c r="L9" s="8" t="e">
        <f t="shared" si="1"/>
        <v>#VALUE!</v>
      </c>
    </row>
    <row r="10" spans="1:12" ht="14.25" customHeight="1" x14ac:dyDescent="0.2">
      <c r="A10" s="6">
        <f t="shared" si="0"/>
        <v>4</v>
      </c>
      <c r="B10" s="7">
        <v>6</v>
      </c>
      <c r="C10" s="7" t="s">
        <v>32</v>
      </c>
      <c r="D10" s="7" t="s">
        <v>33</v>
      </c>
      <c r="E10" s="7" t="s">
        <v>34</v>
      </c>
      <c r="F10" s="7" t="s">
        <v>32</v>
      </c>
      <c r="G10" s="7" t="s">
        <v>35</v>
      </c>
      <c r="H10" s="7" t="s">
        <v>36</v>
      </c>
      <c r="I10" s="7" t="s">
        <v>37</v>
      </c>
      <c r="J10" s="7" t="s">
        <v>26</v>
      </c>
      <c r="K10" s="7" t="s">
        <v>0</v>
      </c>
      <c r="L10" s="8" t="e">
        <f t="shared" si="1"/>
        <v>#VALUE!</v>
      </c>
    </row>
    <row r="11" spans="1:12" ht="14.25" customHeight="1" x14ac:dyDescent="0.2">
      <c r="A11" s="6">
        <f t="shared" si="0"/>
        <v>5</v>
      </c>
      <c r="B11" s="7">
        <v>4</v>
      </c>
      <c r="C11" s="7" t="s">
        <v>38</v>
      </c>
      <c r="D11" s="7" t="s">
        <v>39</v>
      </c>
      <c r="E11" s="7" t="s">
        <v>40</v>
      </c>
      <c r="F11" s="7" t="s">
        <v>38</v>
      </c>
      <c r="G11" s="7" t="s">
        <v>41</v>
      </c>
      <c r="H11" s="7" t="s">
        <v>42</v>
      </c>
      <c r="I11" s="7" t="s">
        <v>43</v>
      </c>
      <c r="J11" s="7" t="s">
        <v>26</v>
      </c>
      <c r="K11" s="7" t="s">
        <v>0</v>
      </c>
      <c r="L11" s="8" t="e">
        <f t="shared" si="1"/>
        <v>#VALUE!</v>
      </c>
    </row>
    <row r="12" spans="1:12" ht="14.25" customHeight="1" x14ac:dyDescent="0.2">
      <c r="A12" s="6">
        <f t="shared" si="0"/>
        <v>6</v>
      </c>
      <c r="B12" s="7">
        <v>2</v>
      </c>
      <c r="C12" s="7" t="s">
        <v>44</v>
      </c>
      <c r="D12" s="7" t="s">
        <v>45</v>
      </c>
      <c r="E12" s="7" t="s">
        <v>40</v>
      </c>
      <c r="F12" s="7" t="s">
        <v>44</v>
      </c>
      <c r="G12" s="7" t="s">
        <v>46</v>
      </c>
      <c r="H12" s="7" t="s">
        <v>47</v>
      </c>
      <c r="I12" s="7" t="s">
        <v>48</v>
      </c>
      <c r="J12" s="7" t="s">
        <v>26</v>
      </c>
      <c r="K12" s="7" t="s">
        <v>0</v>
      </c>
      <c r="L12" s="8" t="e">
        <f t="shared" si="1"/>
        <v>#VALUE!</v>
      </c>
    </row>
    <row r="13" spans="1:12" ht="14.25" customHeight="1" x14ac:dyDescent="0.2">
      <c r="A13" s="6">
        <f t="shared" si="0"/>
        <v>7</v>
      </c>
      <c r="B13" s="7">
        <v>8</v>
      </c>
      <c r="C13" s="7" t="s">
        <v>49</v>
      </c>
      <c r="D13" s="7" t="s">
        <v>50</v>
      </c>
      <c r="E13" s="7" t="s">
        <v>40</v>
      </c>
      <c r="F13" s="7" t="s">
        <v>49</v>
      </c>
      <c r="G13" s="7" t="s">
        <v>51</v>
      </c>
      <c r="H13" s="7" t="s">
        <v>47</v>
      </c>
      <c r="I13" s="7" t="s">
        <v>52</v>
      </c>
      <c r="J13" s="7" t="s">
        <v>26</v>
      </c>
      <c r="K13" s="7" t="s">
        <v>0</v>
      </c>
      <c r="L13" s="8" t="e">
        <f t="shared" si="1"/>
        <v>#VALUE!</v>
      </c>
    </row>
    <row r="14" spans="1:12" ht="14.25" customHeight="1" x14ac:dyDescent="0.2">
      <c r="A14" s="6">
        <f t="shared" si="0"/>
        <v>8</v>
      </c>
      <c r="B14" s="7">
        <v>1</v>
      </c>
      <c r="C14" s="7" t="s">
        <v>53</v>
      </c>
      <c r="D14" s="7" t="s">
        <v>54</v>
      </c>
      <c r="E14" s="7" t="s">
        <v>40</v>
      </c>
      <c r="F14" s="7" t="s">
        <v>53</v>
      </c>
      <c r="G14" s="7" t="s">
        <v>55</v>
      </c>
      <c r="H14" s="7" t="s">
        <v>56</v>
      </c>
      <c r="I14" s="7" t="s">
        <v>57</v>
      </c>
      <c r="J14" s="7" t="s">
        <v>26</v>
      </c>
      <c r="K14" s="7" t="s">
        <v>0</v>
      </c>
      <c r="L14" s="8" t="e">
        <f t="shared" si="1"/>
        <v>#VALUE!</v>
      </c>
    </row>
    <row r="15" spans="1:12" ht="14.25" customHeight="1" x14ac:dyDescent="0.2">
      <c r="A15" s="6">
        <f t="shared" si="0"/>
        <v>9</v>
      </c>
      <c r="B15" s="7">
        <v>2</v>
      </c>
      <c r="C15" s="7" t="s">
        <v>58</v>
      </c>
      <c r="D15" s="7" t="s">
        <v>59</v>
      </c>
      <c r="E15" s="7" t="s">
        <v>40</v>
      </c>
      <c r="F15" s="7" t="s">
        <v>58</v>
      </c>
      <c r="G15" s="7" t="s">
        <v>60</v>
      </c>
      <c r="H15" s="7" t="s">
        <v>61</v>
      </c>
      <c r="I15" s="7" t="s">
        <v>62</v>
      </c>
      <c r="J15" s="7" t="s">
        <v>26</v>
      </c>
      <c r="K15" s="7" t="s">
        <v>0</v>
      </c>
      <c r="L15" s="8" t="e">
        <f t="shared" si="1"/>
        <v>#VALUE!</v>
      </c>
    </row>
    <row r="16" spans="1:12" ht="14.25" customHeight="1" x14ac:dyDescent="0.2">
      <c r="A16" s="6">
        <f t="shared" si="0"/>
        <v>10</v>
      </c>
      <c r="B16" s="7">
        <v>1</v>
      </c>
      <c r="C16" s="7" t="s">
        <v>63</v>
      </c>
      <c r="D16" s="7" t="s">
        <v>64</v>
      </c>
      <c r="E16" s="7" t="s">
        <v>40</v>
      </c>
      <c r="F16" s="7" t="s">
        <v>63</v>
      </c>
      <c r="G16" s="7" t="s">
        <v>65</v>
      </c>
      <c r="H16" s="7" t="s">
        <v>61</v>
      </c>
      <c r="I16" s="7" t="s">
        <v>66</v>
      </c>
      <c r="J16" s="7" t="s">
        <v>26</v>
      </c>
      <c r="K16" s="7" t="s">
        <v>0</v>
      </c>
      <c r="L16" s="8" t="e">
        <f t="shared" si="1"/>
        <v>#VALUE!</v>
      </c>
    </row>
    <row r="17" spans="1:12" ht="14.25" customHeight="1" x14ac:dyDescent="0.2">
      <c r="A17" s="6">
        <f t="shared" si="0"/>
        <v>11</v>
      </c>
      <c r="B17" s="7">
        <v>2</v>
      </c>
      <c r="C17" s="7" t="s">
        <v>67</v>
      </c>
      <c r="D17" s="7" t="s">
        <v>68</v>
      </c>
      <c r="E17" s="7" t="s">
        <v>40</v>
      </c>
      <c r="F17" s="7" t="s">
        <v>67</v>
      </c>
      <c r="G17" s="7" t="s">
        <v>69</v>
      </c>
      <c r="H17" s="7" t="s">
        <v>61</v>
      </c>
      <c r="I17" s="7" t="s">
        <v>70</v>
      </c>
      <c r="J17" s="7" t="s">
        <v>26</v>
      </c>
      <c r="K17" s="7" t="s">
        <v>0</v>
      </c>
      <c r="L17" s="8" t="e">
        <f t="shared" si="1"/>
        <v>#VALUE!</v>
      </c>
    </row>
    <row r="18" spans="1:12" ht="14.25" customHeight="1" x14ac:dyDescent="0.2">
      <c r="A18" s="6">
        <f t="shared" si="0"/>
        <v>12</v>
      </c>
      <c r="B18" s="7">
        <v>11</v>
      </c>
      <c r="C18" s="7" t="s">
        <v>67</v>
      </c>
      <c r="D18" s="7" t="s">
        <v>71</v>
      </c>
      <c r="E18" s="7" t="s">
        <v>40</v>
      </c>
      <c r="F18" s="7" t="s">
        <v>67</v>
      </c>
      <c r="G18" s="7" t="s">
        <v>72</v>
      </c>
      <c r="H18" s="7" t="s">
        <v>42</v>
      </c>
      <c r="I18" s="7" t="s">
        <v>73</v>
      </c>
      <c r="J18" s="7" t="s">
        <v>26</v>
      </c>
      <c r="K18" s="7" t="s">
        <v>0</v>
      </c>
      <c r="L18" s="8" t="e">
        <f t="shared" si="1"/>
        <v>#VALUE!</v>
      </c>
    </row>
    <row r="19" spans="1:12" ht="14.25" customHeight="1" x14ac:dyDescent="0.2">
      <c r="A19" s="6">
        <f t="shared" si="0"/>
        <v>13</v>
      </c>
      <c r="B19" s="7">
        <v>1</v>
      </c>
      <c r="C19" s="7" t="s">
        <v>74</v>
      </c>
      <c r="D19" s="7" t="s">
        <v>75</v>
      </c>
      <c r="E19" s="7" t="s">
        <v>40</v>
      </c>
      <c r="F19" s="7" t="s">
        <v>74</v>
      </c>
      <c r="G19" s="7" t="s">
        <v>76</v>
      </c>
      <c r="H19" s="7" t="s">
        <v>47</v>
      </c>
      <c r="I19" s="7" t="s">
        <v>77</v>
      </c>
      <c r="J19" s="7" t="s">
        <v>26</v>
      </c>
      <c r="K19" s="7" t="s">
        <v>0</v>
      </c>
      <c r="L19" s="8" t="e">
        <f t="shared" si="1"/>
        <v>#VALUE!</v>
      </c>
    </row>
    <row r="20" spans="1:12" ht="14.25" customHeight="1" x14ac:dyDescent="0.2">
      <c r="A20" s="6">
        <f t="shared" si="0"/>
        <v>14</v>
      </c>
      <c r="B20" s="7">
        <v>1</v>
      </c>
      <c r="C20" s="7" t="s">
        <v>78</v>
      </c>
      <c r="D20" s="7" t="s">
        <v>79</v>
      </c>
      <c r="E20" s="7" t="s">
        <v>40</v>
      </c>
      <c r="F20" s="7" t="s">
        <v>78</v>
      </c>
      <c r="G20" s="7" t="s">
        <v>80</v>
      </c>
      <c r="H20" s="7" t="s">
        <v>47</v>
      </c>
      <c r="I20" s="7" t="s">
        <v>81</v>
      </c>
      <c r="J20" s="7" t="s">
        <v>26</v>
      </c>
      <c r="K20" s="7" t="s">
        <v>0</v>
      </c>
      <c r="L20" s="8" t="e">
        <f t="shared" si="1"/>
        <v>#VALUE!</v>
      </c>
    </row>
    <row r="21" spans="1:12" ht="14.25" customHeight="1" x14ac:dyDescent="0.2">
      <c r="A21" s="6">
        <f t="shared" si="0"/>
        <v>15</v>
      </c>
      <c r="B21" s="7">
        <v>1</v>
      </c>
      <c r="C21" s="7" t="s">
        <v>82</v>
      </c>
      <c r="D21" s="7" t="s">
        <v>83</v>
      </c>
      <c r="E21" s="7" t="s">
        <v>40</v>
      </c>
      <c r="F21" s="7" t="s">
        <v>82</v>
      </c>
      <c r="G21" s="7" t="s">
        <v>84</v>
      </c>
      <c r="H21" s="7" t="s">
        <v>42</v>
      </c>
      <c r="I21" s="7" t="s">
        <v>85</v>
      </c>
      <c r="J21" s="7" t="s">
        <v>26</v>
      </c>
      <c r="K21" s="7" t="s">
        <v>0</v>
      </c>
      <c r="L21" s="8" t="e">
        <f t="shared" si="1"/>
        <v>#VALUE!</v>
      </c>
    </row>
    <row r="22" spans="1:12" ht="14.25" customHeight="1" x14ac:dyDescent="0.2">
      <c r="A22" s="6">
        <f t="shared" si="0"/>
        <v>16</v>
      </c>
      <c r="B22" s="7">
        <v>4</v>
      </c>
      <c r="C22" s="7" t="s">
        <v>86</v>
      </c>
      <c r="D22" s="7" t="s">
        <v>87</v>
      </c>
      <c r="E22" s="7" t="s">
        <v>88</v>
      </c>
      <c r="F22" s="7" t="s">
        <v>0</v>
      </c>
      <c r="G22" s="7" t="s">
        <v>86</v>
      </c>
      <c r="H22" s="7" t="s">
        <v>89</v>
      </c>
      <c r="I22" s="7" t="s">
        <v>90</v>
      </c>
      <c r="J22" s="7" t="s">
        <v>26</v>
      </c>
      <c r="K22" s="7" t="s">
        <v>0</v>
      </c>
      <c r="L22" s="8" t="e">
        <f t="shared" si="1"/>
        <v>#VALUE!</v>
      </c>
    </row>
    <row r="23" spans="1:12" ht="14.25" customHeight="1" x14ac:dyDescent="0.2">
      <c r="A23" s="6">
        <f t="shared" si="0"/>
        <v>17</v>
      </c>
      <c r="B23" s="7">
        <v>1</v>
      </c>
      <c r="C23" s="7" t="s">
        <v>91</v>
      </c>
      <c r="D23" s="7" t="s">
        <v>92</v>
      </c>
      <c r="E23" s="7" t="s">
        <v>93</v>
      </c>
      <c r="F23" s="7" t="s">
        <v>0</v>
      </c>
      <c r="G23" s="7" t="s">
        <v>91</v>
      </c>
      <c r="H23" s="7" t="s">
        <v>94</v>
      </c>
      <c r="I23" s="7" t="s">
        <v>95</v>
      </c>
      <c r="J23" s="7" t="s">
        <v>26</v>
      </c>
      <c r="K23" s="7" t="s">
        <v>0</v>
      </c>
      <c r="L23" s="8" t="e">
        <f t="shared" si="1"/>
        <v>#VALUE!</v>
      </c>
    </row>
    <row r="24" spans="1:12" ht="14.25" customHeight="1" x14ac:dyDescent="0.2">
      <c r="A24" s="6">
        <f t="shared" si="0"/>
        <v>18</v>
      </c>
      <c r="B24" s="7">
        <v>1</v>
      </c>
      <c r="C24" s="7" t="s">
        <v>96</v>
      </c>
      <c r="D24" s="7" t="s">
        <v>97</v>
      </c>
      <c r="E24" s="7" t="s">
        <v>98</v>
      </c>
      <c r="F24" s="7" t="s">
        <v>0</v>
      </c>
      <c r="G24" s="7" t="s">
        <v>96</v>
      </c>
      <c r="H24" s="7" t="s">
        <v>99</v>
      </c>
      <c r="I24" s="7" t="s">
        <v>100</v>
      </c>
      <c r="J24" s="7" t="s">
        <v>26</v>
      </c>
      <c r="K24" s="7" t="s">
        <v>0</v>
      </c>
      <c r="L24" s="8" t="e">
        <f t="shared" si="1"/>
        <v>#VALUE!</v>
      </c>
    </row>
    <row r="25" spans="1:12" ht="14.25" customHeight="1" x14ac:dyDescent="0.2">
      <c r="A25" s="6">
        <f t="shared" si="0"/>
        <v>19</v>
      </c>
      <c r="B25" s="7">
        <v>1</v>
      </c>
      <c r="C25" s="7" t="s">
        <v>101</v>
      </c>
      <c r="D25" s="7" t="s">
        <v>102</v>
      </c>
      <c r="E25" s="7" t="s">
        <v>103</v>
      </c>
      <c r="F25" s="7" t="s">
        <v>0</v>
      </c>
      <c r="G25" s="7" t="s">
        <v>101</v>
      </c>
      <c r="H25" s="7" t="s">
        <v>104</v>
      </c>
      <c r="I25" s="7" t="s">
        <v>105</v>
      </c>
      <c r="J25" s="7" t="s">
        <v>26</v>
      </c>
      <c r="K25" s="7" t="s">
        <v>0</v>
      </c>
      <c r="L25" s="8" t="e">
        <f t="shared" si="1"/>
        <v>#VALUE!</v>
      </c>
    </row>
    <row r="26" spans="1:12" ht="14.25" customHeight="1" x14ac:dyDescent="0.2">
      <c r="A26" s="6">
        <f t="shared" si="0"/>
        <v>20</v>
      </c>
      <c r="B26" s="7">
        <v>1</v>
      </c>
      <c r="C26" s="7" t="s">
        <v>106</v>
      </c>
      <c r="D26" s="7" t="s">
        <v>107</v>
      </c>
      <c r="E26" s="7" t="s">
        <v>108</v>
      </c>
      <c r="F26" s="7" t="s">
        <v>0</v>
      </c>
      <c r="G26" s="7" t="s">
        <v>106</v>
      </c>
      <c r="H26" s="7" t="s">
        <v>109</v>
      </c>
      <c r="I26" s="7" t="s">
        <v>110</v>
      </c>
      <c r="J26" s="7" t="s">
        <v>26</v>
      </c>
      <c r="K26" s="7" t="s">
        <v>0</v>
      </c>
      <c r="L26" s="8" t="e">
        <f t="shared" si="1"/>
        <v>#VALUE!</v>
      </c>
    </row>
    <row r="27" spans="1:12" ht="14.25" customHeight="1" x14ac:dyDescent="0.2">
      <c r="A27" s="6">
        <f t="shared" si="0"/>
        <v>21</v>
      </c>
      <c r="B27" s="7">
        <v>1</v>
      </c>
      <c r="C27" s="7" t="s">
        <v>111</v>
      </c>
      <c r="D27" s="7" t="s">
        <v>111</v>
      </c>
      <c r="E27" s="7" t="s">
        <v>112</v>
      </c>
      <c r="F27" s="7" t="s">
        <v>0</v>
      </c>
      <c r="G27" s="7" t="s">
        <v>111</v>
      </c>
      <c r="H27" s="7" t="s">
        <v>113</v>
      </c>
      <c r="I27" s="7" t="s">
        <v>114</v>
      </c>
      <c r="J27" s="7" t="s">
        <v>26</v>
      </c>
      <c r="K27" s="7" t="s">
        <v>0</v>
      </c>
      <c r="L27" s="8" t="e">
        <f t="shared" si="1"/>
        <v>#VALUE!</v>
      </c>
    </row>
    <row r="28" spans="1:12" ht="14.25" customHeight="1" x14ac:dyDescent="0.2">
      <c r="A28" s="6">
        <f t="shared" si="0"/>
        <v>22</v>
      </c>
      <c r="B28" s="7">
        <v>1</v>
      </c>
      <c r="C28" s="7" t="s">
        <v>115</v>
      </c>
      <c r="D28" s="7" t="s">
        <v>116</v>
      </c>
      <c r="E28" s="7" t="s">
        <v>117</v>
      </c>
      <c r="F28" s="7" t="s">
        <v>115</v>
      </c>
      <c r="G28" s="7" t="s">
        <v>118</v>
      </c>
      <c r="H28" s="7" t="s">
        <v>119</v>
      </c>
      <c r="I28" s="7" t="s">
        <v>120</v>
      </c>
      <c r="J28" s="7" t="s">
        <v>26</v>
      </c>
      <c r="K28" s="7" t="s">
        <v>0</v>
      </c>
      <c r="L28" s="8" t="e">
        <f t="shared" si="1"/>
        <v>#VALUE!</v>
      </c>
    </row>
    <row r="29" spans="1:12" ht="14.25" customHeight="1" x14ac:dyDescent="0.2">
      <c r="A29" s="6">
        <f t="shared" si="0"/>
        <v>23</v>
      </c>
      <c r="B29" s="7">
        <v>1</v>
      </c>
      <c r="C29" s="7" t="s">
        <v>121</v>
      </c>
      <c r="D29" s="7" t="s">
        <v>122</v>
      </c>
      <c r="E29" s="7" t="s">
        <v>123</v>
      </c>
      <c r="F29" s="7" t="s">
        <v>121</v>
      </c>
      <c r="G29" s="7" t="s">
        <v>124</v>
      </c>
      <c r="H29" s="7" t="s">
        <v>125</v>
      </c>
      <c r="I29" s="7" t="s">
        <v>126</v>
      </c>
      <c r="J29" s="7" t="s">
        <v>26</v>
      </c>
      <c r="K29" s="7" t="s">
        <v>0</v>
      </c>
      <c r="L29" s="8" t="e">
        <f t="shared" si="1"/>
        <v>#VALUE!</v>
      </c>
    </row>
    <row r="30" spans="1:12" ht="14.25" customHeight="1" x14ac:dyDescent="0.2">
      <c r="A30" s="6">
        <f t="shared" si="0"/>
        <v>24</v>
      </c>
      <c r="B30" s="7">
        <v>1</v>
      </c>
      <c r="C30" s="7" t="s">
        <v>127</v>
      </c>
      <c r="D30" s="7" t="s">
        <v>128</v>
      </c>
      <c r="E30" s="7" t="s">
        <v>129</v>
      </c>
      <c r="F30" s="7" t="s">
        <v>0</v>
      </c>
      <c r="G30" s="7" t="s">
        <v>127</v>
      </c>
      <c r="H30" s="7" t="s">
        <v>30</v>
      </c>
      <c r="I30" s="7" t="s">
        <v>130</v>
      </c>
      <c r="J30" s="7" t="s">
        <v>26</v>
      </c>
      <c r="K30" s="7" t="s">
        <v>0</v>
      </c>
      <c r="L30" s="8" t="e">
        <f t="shared" si="1"/>
        <v>#VALUE!</v>
      </c>
    </row>
    <row r="31" spans="1:12" ht="14.25" customHeight="1" x14ac:dyDescent="0.2">
      <c r="A31" s="6">
        <f t="shared" si="0"/>
        <v>25</v>
      </c>
      <c r="B31" s="7">
        <v>2</v>
      </c>
      <c r="C31" s="7" t="s">
        <v>131</v>
      </c>
      <c r="D31" s="7" t="s">
        <v>132</v>
      </c>
      <c r="E31" s="7" t="s">
        <v>133</v>
      </c>
      <c r="F31" s="7" t="s">
        <v>0</v>
      </c>
      <c r="G31" s="7" t="s">
        <v>131</v>
      </c>
      <c r="H31" s="7" t="s">
        <v>134</v>
      </c>
      <c r="I31" s="7" t="s">
        <v>135</v>
      </c>
      <c r="J31" s="7" t="s">
        <v>26</v>
      </c>
      <c r="K31" s="7" t="s">
        <v>0</v>
      </c>
      <c r="L31" s="8" t="e">
        <f t="shared" si="1"/>
        <v>#VALUE!</v>
      </c>
    </row>
    <row r="32" spans="1:12" ht="14.25" customHeight="1" x14ac:dyDescent="0.2">
      <c r="A32" s="6">
        <f t="shared" si="0"/>
        <v>26</v>
      </c>
      <c r="B32" s="7">
        <v>1</v>
      </c>
      <c r="C32" s="7" t="s">
        <v>136</v>
      </c>
      <c r="D32" s="7" t="s">
        <v>137</v>
      </c>
      <c r="E32" s="7" t="s">
        <v>138</v>
      </c>
      <c r="F32" s="7" t="s">
        <v>0</v>
      </c>
      <c r="G32" s="7" t="s">
        <v>136</v>
      </c>
      <c r="H32" s="7" t="s">
        <v>139</v>
      </c>
      <c r="I32" s="7" t="s">
        <v>140</v>
      </c>
      <c r="J32" s="7" t="s">
        <v>26</v>
      </c>
      <c r="K32" s="7" t="s">
        <v>0</v>
      </c>
      <c r="L32" s="8" t="e">
        <f t="shared" si="1"/>
        <v>#VALUE!</v>
      </c>
    </row>
    <row r="33" spans="1:12" ht="14.25" customHeight="1" x14ac:dyDescent="0.2">
      <c r="A33" s="6">
        <f t="shared" si="0"/>
        <v>27</v>
      </c>
      <c r="B33" s="7">
        <v>1</v>
      </c>
      <c r="C33" s="7" t="s">
        <v>141</v>
      </c>
      <c r="D33" s="7" t="s">
        <v>141</v>
      </c>
      <c r="E33" s="7" t="s">
        <v>142</v>
      </c>
      <c r="F33" s="7" t="s">
        <v>0</v>
      </c>
      <c r="G33" s="7" t="s">
        <v>141</v>
      </c>
      <c r="H33" s="7" t="s">
        <v>143</v>
      </c>
      <c r="I33" s="7" t="s">
        <v>144</v>
      </c>
      <c r="J33" s="7" t="s">
        <v>26</v>
      </c>
      <c r="K33" s="7" t="s">
        <v>0</v>
      </c>
      <c r="L33" s="8" t="e">
        <f t="shared" si="1"/>
        <v>#VALUE!</v>
      </c>
    </row>
    <row r="34" spans="1:12" ht="14.25" customHeight="1" x14ac:dyDescent="0.2">
      <c r="A34" s="6">
        <f t="shared" si="0"/>
        <v>28</v>
      </c>
      <c r="B34" s="7">
        <v>1</v>
      </c>
      <c r="C34" s="7" t="s">
        <v>145</v>
      </c>
      <c r="D34" s="7" t="s">
        <v>146</v>
      </c>
      <c r="E34" s="7" t="s">
        <v>147</v>
      </c>
      <c r="F34" s="7" t="s">
        <v>0</v>
      </c>
      <c r="G34" s="7" t="s">
        <v>145</v>
      </c>
      <c r="H34" s="7" t="s">
        <v>104</v>
      </c>
      <c r="I34" s="7" t="s">
        <v>148</v>
      </c>
      <c r="J34" s="7" t="s">
        <v>26</v>
      </c>
      <c r="K34" s="7" t="s">
        <v>0</v>
      </c>
      <c r="L34" s="8" t="e">
        <f t="shared" si="1"/>
        <v>#VALUE!</v>
      </c>
    </row>
    <row r="35" spans="1:12" ht="14.25" customHeight="1" x14ac:dyDescent="0.2">
      <c r="A35" s="6">
        <f t="shared" si="0"/>
        <v>29</v>
      </c>
      <c r="B35" s="7">
        <v>3</v>
      </c>
      <c r="C35" s="7" t="s">
        <v>149</v>
      </c>
      <c r="D35" s="7" t="s">
        <v>150</v>
      </c>
      <c r="E35" s="7" t="s">
        <v>151</v>
      </c>
      <c r="F35" s="7" t="s">
        <v>0</v>
      </c>
      <c r="G35" s="7" t="s">
        <v>149</v>
      </c>
      <c r="H35" s="7" t="s">
        <v>89</v>
      </c>
      <c r="I35" s="7" t="s">
        <v>152</v>
      </c>
      <c r="J35" s="7" t="s">
        <v>26</v>
      </c>
      <c r="K35" s="7" t="s">
        <v>0</v>
      </c>
      <c r="L35" s="8" t="e">
        <f t="shared" si="1"/>
        <v>#VALUE!</v>
      </c>
    </row>
    <row r="36" spans="1:12" ht="14.25" customHeight="1" x14ac:dyDescent="0.2">
      <c r="A36" s="6">
        <f t="shared" si="0"/>
        <v>30</v>
      </c>
      <c r="B36" s="7">
        <v>2</v>
      </c>
      <c r="C36" s="7" t="s">
        <v>153</v>
      </c>
      <c r="D36" s="7" t="s">
        <v>154</v>
      </c>
      <c r="E36" s="7" t="s">
        <v>155</v>
      </c>
      <c r="F36" s="7" t="s">
        <v>0</v>
      </c>
      <c r="G36" s="7" t="s">
        <v>153</v>
      </c>
      <c r="H36" s="7" t="s">
        <v>156</v>
      </c>
      <c r="I36" s="7" t="s">
        <v>157</v>
      </c>
      <c r="J36" s="7" t="s">
        <v>26</v>
      </c>
      <c r="K36" s="7" t="s">
        <v>0</v>
      </c>
      <c r="L36" s="8" t="e">
        <f t="shared" si="1"/>
        <v>#VALUE!</v>
      </c>
    </row>
    <row r="37" spans="1:12" ht="14.25" customHeight="1" x14ac:dyDescent="0.2">
      <c r="A37" s="6">
        <f t="shared" si="0"/>
        <v>31</v>
      </c>
      <c r="B37" s="7">
        <v>2</v>
      </c>
      <c r="C37" s="7" t="s">
        <v>158</v>
      </c>
      <c r="D37" s="7" t="s">
        <v>159</v>
      </c>
      <c r="E37" s="7" t="s">
        <v>160</v>
      </c>
      <c r="F37" s="7" t="s">
        <v>0</v>
      </c>
      <c r="G37" s="7" t="s">
        <v>158</v>
      </c>
      <c r="H37" s="7" t="s">
        <v>0</v>
      </c>
      <c r="I37" s="7" t="s">
        <v>161</v>
      </c>
      <c r="J37" s="7" t="s">
        <v>26</v>
      </c>
      <c r="K37" s="7" t="s">
        <v>0</v>
      </c>
      <c r="L37" s="8" t="e">
        <f t="shared" si="1"/>
        <v>#VALUE!</v>
      </c>
    </row>
    <row r="38" spans="1:12" ht="14.25" customHeight="1" x14ac:dyDescent="0.2">
      <c r="A38" s="6">
        <f t="shared" si="0"/>
        <v>32</v>
      </c>
      <c r="B38" s="7">
        <v>2</v>
      </c>
      <c r="C38" s="7" t="s">
        <v>162</v>
      </c>
      <c r="D38" s="7" t="s">
        <v>163</v>
      </c>
      <c r="E38" s="7" t="s">
        <v>164</v>
      </c>
      <c r="F38" s="7" t="s">
        <v>0</v>
      </c>
      <c r="G38" s="7" t="s">
        <v>162</v>
      </c>
      <c r="H38" s="7" t="s">
        <v>165</v>
      </c>
      <c r="I38" s="7" t="s">
        <v>166</v>
      </c>
      <c r="J38" s="7" t="s">
        <v>26</v>
      </c>
      <c r="K38" s="7" t="s">
        <v>0</v>
      </c>
      <c r="L38" s="8" t="e">
        <f t="shared" si="1"/>
        <v>#VALUE!</v>
      </c>
    </row>
    <row r="39" spans="1:12" ht="14.25" customHeight="1" x14ac:dyDescent="0.2">
      <c r="A39" s="6">
        <f t="shared" ref="A39:A64" si="2">ROW()-6</f>
        <v>33</v>
      </c>
      <c r="B39" s="7">
        <v>1</v>
      </c>
      <c r="C39" s="7" t="s">
        <v>167</v>
      </c>
      <c r="D39" s="7" t="s">
        <v>168</v>
      </c>
      <c r="E39" s="7" t="s">
        <v>169</v>
      </c>
      <c r="F39" s="7" t="s">
        <v>0</v>
      </c>
      <c r="G39" s="7" t="s">
        <v>167</v>
      </c>
      <c r="H39" s="7" t="s">
        <v>30</v>
      </c>
      <c r="I39" s="7" t="s">
        <v>170</v>
      </c>
      <c r="J39" s="7" t="s">
        <v>26</v>
      </c>
      <c r="K39" s="7" t="s">
        <v>0</v>
      </c>
      <c r="L39" s="8" t="e">
        <f t="shared" ref="L39:L70" si="3">B39*K39</f>
        <v>#VALUE!</v>
      </c>
    </row>
    <row r="40" spans="1:12" x14ac:dyDescent="0.2">
      <c r="A40" s="6">
        <f t="shared" si="2"/>
        <v>34</v>
      </c>
      <c r="B40" s="7">
        <v>1</v>
      </c>
      <c r="C40" s="7" t="s">
        <v>171</v>
      </c>
      <c r="D40" s="7" t="s">
        <v>172</v>
      </c>
      <c r="E40" s="7" t="s">
        <v>173</v>
      </c>
      <c r="F40" s="7" t="s">
        <v>0</v>
      </c>
      <c r="G40" s="7" t="s">
        <v>171</v>
      </c>
      <c r="H40" s="7" t="s">
        <v>174</v>
      </c>
      <c r="I40" s="7" t="s">
        <v>175</v>
      </c>
      <c r="J40" s="7" t="s">
        <v>26</v>
      </c>
      <c r="K40" s="7" t="s">
        <v>0</v>
      </c>
      <c r="L40" s="8" t="e">
        <f t="shared" si="3"/>
        <v>#VALUE!</v>
      </c>
    </row>
    <row r="41" spans="1:12" x14ac:dyDescent="0.2">
      <c r="A41" s="6">
        <f t="shared" si="2"/>
        <v>35</v>
      </c>
      <c r="B41" s="7">
        <v>6</v>
      </c>
      <c r="C41" s="7" t="s">
        <v>176</v>
      </c>
      <c r="D41" s="7" t="s">
        <v>177</v>
      </c>
      <c r="E41" s="7" t="s">
        <v>34</v>
      </c>
      <c r="F41" s="7" t="s">
        <v>176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8" t="e">
        <f t="shared" si="3"/>
        <v>#VALUE!</v>
      </c>
    </row>
    <row r="42" spans="1:12" x14ac:dyDescent="0.2">
      <c r="A42" s="6">
        <f t="shared" si="2"/>
        <v>36</v>
      </c>
      <c r="B42" s="7">
        <v>6</v>
      </c>
      <c r="C42" s="7" t="s">
        <v>178</v>
      </c>
      <c r="D42" s="7" t="s">
        <v>179</v>
      </c>
      <c r="E42" s="7" t="s">
        <v>34</v>
      </c>
      <c r="F42" s="7" t="s">
        <v>178</v>
      </c>
      <c r="G42" s="7" t="s">
        <v>180</v>
      </c>
      <c r="H42" s="7" t="s">
        <v>36</v>
      </c>
      <c r="I42" s="7" t="s">
        <v>181</v>
      </c>
      <c r="J42" s="7" t="s">
        <v>26</v>
      </c>
      <c r="K42" s="7" t="s">
        <v>0</v>
      </c>
      <c r="L42" s="8" t="e">
        <f t="shared" si="3"/>
        <v>#VALUE!</v>
      </c>
    </row>
    <row r="43" spans="1:12" x14ac:dyDescent="0.2">
      <c r="A43" s="6">
        <f t="shared" si="2"/>
        <v>37</v>
      </c>
      <c r="B43" s="7">
        <v>1</v>
      </c>
      <c r="C43" s="7" t="s">
        <v>182</v>
      </c>
      <c r="D43" s="7" t="s">
        <v>183</v>
      </c>
      <c r="E43" s="7" t="s">
        <v>34</v>
      </c>
      <c r="F43" s="7" t="s">
        <v>182</v>
      </c>
      <c r="G43" s="7" t="s">
        <v>184</v>
      </c>
      <c r="H43" s="7" t="s">
        <v>185</v>
      </c>
      <c r="I43" s="7" t="s">
        <v>186</v>
      </c>
      <c r="J43" s="7" t="s">
        <v>26</v>
      </c>
      <c r="K43" s="7" t="s">
        <v>0</v>
      </c>
      <c r="L43" s="8" t="e">
        <f t="shared" si="3"/>
        <v>#VALUE!</v>
      </c>
    </row>
    <row r="44" spans="1:12" x14ac:dyDescent="0.2">
      <c r="A44" s="6">
        <f t="shared" si="2"/>
        <v>38</v>
      </c>
      <c r="B44" s="7">
        <v>1</v>
      </c>
      <c r="C44" s="7" t="s">
        <v>187</v>
      </c>
      <c r="D44" s="7" t="s">
        <v>188</v>
      </c>
      <c r="E44" s="7" t="s">
        <v>34</v>
      </c>
      <c r="F44" s="7" t="s">
        <v>187</v>
      </c>
      <c r="G44" s="7" t="s">
        <v>189</v>
      </c>
      <c r="H44" s="7" t="s">
        <v>36</v>
      </c>
      <c r="I44" s="7" t="s">
        <v>190</v>
      </c>
      <c r="J44" s="7" t="s">
        <v>26</v>
      </c>
      <c r="K44" s="7" t="s">
        <v>0</v>
      </c>
      <c r="L44" s="8" t="e">
        <f t="shared" si="3"/>
        <v>#VALUE!</v>
      </c>
    </row>
    <row r="45" spans="1:12" x14ac:dyDescent="0.2">
      <c r="A45" s="6">
        <f t="shared" si="2"/>
        <v>39</v>
      </c>
      <c r="B45" s="7">
        <v>2</v>
      </c>
      <c r="C45" s="7" t="s">
        <v>191</v>
      </c>
      <c r="D45" s="7" t="s">
        <v>192</v>
      </c>
      <c r="E45" s="7" t="s">
        <v>34</v>
      </c>
      <c r="F45" s="7" t="s">
        <v>191</v>
      </c>
      <c r="G45" s="7" t="s">
        <v>193</v>
      </c>
      <c r="H45" s="7" t="s">
        <v>42</v>
      </c>
      <c r="I45" s="7" t="s">
        <v>194</v>
      </c>
      <c r="J45" s="7" t="s">
        <v>26</v>
      </c>
      <c r="K45" s="7" t="s">
        <v>0</v>
      </c>
      <c r="L45" s="8" t="e">
        <f t="shared" si="3"/>
        <v>#VALUE!</v>
      </c>
    </row>
    <row r="46" spans="1:12" x14ac:dyDescent="0.2">
      <c r="A46" s="6">
        <f t="shared" si="2"/>
        <v>40</v>
      </c>
      <c r="B46" s="7">
        <v>3</v>
      </c>
      <c r="C46" s="7" t="s">
        <v>178</v>
      </c>
      <c r="D46" s="7" t="s">
        <v>195</v>
      </c>
      <c r="E46" s="7" t="s">
        <v>34</v>
      </c>
      <c r="F46" s="7" t="s">
        <v>178</v>
      </c>
      <c r="G46" s="7" t="s">
        <v>196</v>
      </c>
      <c r="H46" s="7" t="s">
        <v>197</v>
      </c>
      <c r="I46" s="7" t="s">
        <v>198</v>
      </c>
      <c r="J46" s="7" t="s">
        <v>26</v>
      </c>
      <c r="K46" s="7" t="s">
        <v>0</v>
      </c>
      <c r="L46" s="8" t="e">
        <f t="shared" si="3"/>
        <v>#VALUE!</v>
      </c>
    </row>
    <row r="47" spans="1:12" x14ac:dyDescent="0.2">
      <c r="A47" s="6">
        <f t="shared" si="2"/>
        <v>41</v>
      </c>
      <c r="B47" s="7">
        <v>1</v>
      </c>
      <c r="C47" s="7" t="s">
        <v>199</v>
      </c>
      <c r="D47" s="7" t="s">
        <v>200</v>
      </c>
      <c r="E47" s="7" t="s">
        <v>34</v>
      </c>
      <c r="F47" s="7" t="s">
        <v>199</v>
      </c>
      <c r="G47" s="7" t="s">
        <v>201</v>
      </c>
      <c r="H47" s="7" t="s">
        <v>185</v>
      </c>
      <c r="I47" s="7" t="s">
        <v>202</v>
      </c>
      <c r="J47" s="7" t="s">
        <v>26</v>
      </c>
      <c r="K47" s="7" t="s">
        <v>0</v>
      </c>
      <c r="L47" s="8" t="e">
        <f t="shared" si="3"/>
        <v>#VALUE!</v>
      </c>
    </row>
    <row r="48" spans="1:12" x14ac:dyDescent="0.2">
      <c r="A48" s="6">
        <f t="shared" si="2"/>
        <v>42</v>
      </c>
      <c r="B48" s="7">
        <v>1</v>
      </c>
      <c r="C48" s="7" t="s">
        <v>203</v>
      </c>
      <c r="D48" s="7" t="s">
        <v>204</v>
      </c>
      <c r="E48" s="7" t="s">
        <v>34</v>
      </c>
      <c r="F48" s="7" t="s">
        <v>203</v>
      </c>
      <c r="G48" s="7" t="s">
        <v>205</v>
      </c>
      <c r="H48" s="7" t="s">
        <v>36</v>
      </c>
      <c r="I48" s="7" t="s">
        <v>206</v>
      </c>
      <c r="J48" s="7" t="s">
        <v>26</v>
      </c>
      <c r="K48" s="7" t="s">
        <v>0</v>
      </c>
      <c r="L48" s="8" t="e">
        <f t="shared" si="3"/>
        <v>#VALUE!</v>
      </c>
    </row>
    <row r="49" spans="1:12" x14ac:dyDescent="0.2">
      <c r="A49" s="6">
        <f t="shared" si="2"/>
        <v>43</v>
      </c>
      <c r="B49" s="7">
        <v>2</v>
      </c>
      <c r="C49" s="7" t="s">
        <v>207</v>
      </c>
      <c r="D49" s="7" t="s">
        <v>208</v>
      </c>
      <c r="E49" s="7" t="s">
        <v>34</v>
      </c>
      <c r="F49" s="7" t="s">
        <v>207</v>
      </c>
      <c r="G49" s="7" t="s">
        <v>209</v>
      </c>
      <c r="H49" s="7" t="s">
        <v>36</v>
      </c>
      <c r="I49" s="7" t="s">
        <v>210</v>
      </c>
      <c r="J49" s="7" t="s">
        <v>26</v>
      </c>
      <c r="K49" s="7" t="s">
        <v>0</v>
      </c>
      <c r="L49" s="8" t="e">
        <f t="shared" si="3"/>
        <v>#VALUE!</v>
      </c>
    </row>
    <row r="50" spans="1:12" x14ac:dyDescent="0.2">
      <c r="A50" s="6">
        <f t="shared" si="2"/>
        <v>44</v>
      </c>
      <c r="B50" s="7">
        <v>2</v>
      </c>
      <c r="C50" s="7" t="s">
        <v>191</v>
      </c>
      <c r="D50" s="7" t="s">
        <v>211</v>
      </c>
      <c r="E50" s="7" t="s">
        <v>34</v>
      </c>
      <c r="F50" s="7" t="s">
        <v>191</v>
      </c>
      <c r="G50" s="7" t="s">
        <v>212</v>
      </c>
      <c r="H50" s="7" t="s">
        <v>36</v>
      </c>
      <c r="I50" s="7" t="s">
        <v>213</v>
      </c>
      <c r="J50" s="7" t="s">
        <v>26</v>
      </c>
      <c r="K50" s="7" t="s">
        <v>0</v>
      </c>
      <c r="L50" s="8" t="e">
        <f t="shared" si="3"/>
        <v>#VALUE!</v>
      </c>
    </row>
    <row r="51" spans="1:12" x14ac:dyDescent="0.2">
      <c r="A51" s="6">
        <f t="shared" si="2"/>
        <v>45</v>
      </c>
      <c r="B51" s="7">
        <v>1</v>
      </c>
      <c r="C51" s="7" t="s">
        <v>214</v>
      </c>
      <c r="D51" s="7" t="s">
        <v>215</v>
      </c>
      <c r="E51" s="7" t="s">
        <v>34</v>
      </c>
      <c r="F51" s="7" t="s">
        <v>214</v>
      </c>
      <c r="G51" s="7" t="s">
        <v>216</v>
      </c>
      <c r="H51" s="7" t="s">
        <v>36</v>
      </c>
      <c r="I51" s="7" t="s">
        <v>217</v>
      </c>
      <c r="J51" s="7" t="s">
        <v>26</v>
      </c>
      <c r="K51" s="7" t="s">
        <v>0</v>
      </c>
      <c r="L51" s="8" t="e">
        <f t="shared" si="3"/>
        <v>#VALUE!</v>
      </c>
    </row>
    <row r="52" spans="1:12" x14ac:dyDescent="0.2">
      <c r="A52" s="6">
        <f t="shared" si="2"/>
        <v>46</v>
      </c>
      <c r="B52" s="7">
        <v>1</v>
      </c>
      <c r="C52" s="7" t="s">
        <v>218</v>
      </c>
      <c r="D52" s="7" t="s">
        <v>219</v>
      </c>
      <c r="E52" s="7" t="s">
        <v>34</v>
      </c>
      <c r="F52" s="7" t="s">
        <v>218</v>
      </c>
      <c r="G52" s="7" t="s">
        <v>220</v>
      </c>
      <c r="H52" s="7" t="s">
        <v>185</v>
      </c>
      <c r="I52" s="7" t="s">
        <v>221</v>
      </c>
      <c r="J52" s="7" t="s">
        <v>26</v>
      </c>
      <c r="K52" s="7" t="s">
        <v>0</v>
      </c>
      <c r="L52" s="8" t="e">
        <f t="shared" si="3"/>
        <v>#VALUE!</v>
      </c>
    </row>
    <row r="53" spans="1:12" x14ac:dyDescent="0.2">
      <c r="A53" s="6">
        <f t="shared" si="2"/>
        <v>47</v>
      </c>
      <c r="B53" s="7">
        <v>2</v>
      </c>
      <c r="C53" s="7" t="s">
        <v>222</v>
      </c>
      <c r="D53" s="7" t="s">
        <v>223</v>
      </c>
      <c r="E53" s="7" t="s">
        <v>34</v>
      </c>
      <c r="F53" s="7" t="s">
        <v>222</v>
      </c>
      <c r="G53" s="7" t="s">
        <v>224</v>
      </c>
      <c r="H53" s="7" t="s">
        <v>36</v>
      </c>
      <c r="I53" s="7" t="s">
        <v>225</v>
      </c>
      <c r="J53" s="7" t="s">
        <v>26</v>
      </c>
      <c r="K53" s="7" t="s">
        <v>0</v>
      </c>
      <c r="L53" s="8" t="e">
        <f t="shared" si="3"/>
        <v>#VALUE!</v>
      </c>
    </row>
    <row r="54" spans="1:12" x14ac:dyDescent="0.2">
      <c r="A54" s="6">
        <f t="shared" si="2"/>
        <v>48</v>
      </c>
      <c r="B54" s="7">
        <v>1</v>
      </c>
      <c r="C54" s="7" t="s">
        <v>226</v>
      </c>
      <c r="D54" s="7" t="s">
        <v>227</v>
      </c>
      <c r="E54" s="7" t="s">
        <v>228</v>
      </c>
      <c r="F54" s="7" t="s">
        <v>0</v>
      </c>
      <c r="G54" s="7" t="s">
        <v>226</v>
      </c>
      <c r="H54" s="7" t="s">
        <v>229</v>
      </c>
      <c r="I54" s="7" t="s">
        <v>230</v>
      </c>
      <c r="J54" s="7" t="s">
        <v>26</v>
      </c>
      <c r="K54" s="7" t="s">
        <v>0</v>
      </c>
      <c r="L54" s="8" t="e">
        <f t="shared" si="3"/>
        <v>#VALUE!</v>
      </c>
    </row>
    <row r="55" spans="1:12" x14ac:dyDescent="0.2">
      <c r="A55" s="6">
        <f t="shared" si="2"/>
        <v>49</v>
      </c>
      <c r="B55" s="7">
        <v>1</v>
      </c>
      <c r="C55" s="7" t="s">
        <v>231</v>
      </c>
      <c r="D55" s="7" t="s">
        <v>232</v>
      </c>
      <c r="E55" s="7" t="s">
        <v>233</v>
      </c>
      <c r="F55" s="7" t="s">
        <v>0</v>
      </c>
      <c r="G55" s="7" t="s">
        <v>231</v>
      </c>
      <c r="H55" s="7" t="s">
        <v>234</v>
      </c>
      <c r="I55" s="7" t="s">
        <v>235</v>
      </c>
      <c r="J55" s="7" t="s">
        <v>26</v>
      </c>
      <c r="K55" s="7" t="s">
        <v>0</v>
      </c>
      <c r="L55" s="8" t="e">
        <f t="shared" si="3"/>
        <v>#VALUE!</v>
      </c>
    </row>
    <row r="56" spans="1:12" x14ac:dyDescent="0.2">
      <c r="A56" s="6">
        <f t="shared" si="2"/>
        <v>50</v>
      </c>
      <c r="B56" s="7">
        <v>1</v>
      </c>
      <c r="C56" s="7" t="s">
        <v>236</v>
      </c>
      <c r="D56" s="7" t="s">
        <v>237</v>
      </c>
      <c r="E56" s="7" t="s">
        <v>228</v>
      </c>
      <c r="F56" s="7" t="s">
        <v>0</v>
      </c>
      <c r="G56" s="7" t="s">
        <v>236</v>
      </c>
      <c r="H56" s="7" t="s">
        <v>229</v>
      </c>
      <c r="I56" s="7" t="s">
        <v>238</v>
      </c>
      <c r="J56" s="7" t="s">
        <v>26</v>
      </c>
      <c r="K56" s="7" t="s">
        <v>0</v>
      </c>
      <c r="L56" s="8" t="e">
        <f t="shared" si="3"/>
        <v>#VALUE!</v>
      </c>
    </row>
    <row r="57" spans="1:12" x14ac:dyDescent="0.2">
      <c r="A57" s="6">
        <f t="shared" si="2"/>
        <v>51</v>
      </c>
      <c r="B57" s="7">
        <v>3</v>
      </c>
      <c r="C57" s="7" t="s">
        <v>239</v>
      </c>
      <c r="D57" s="7" t="s">
        <v>240</v>
      </c>
      <c r="E57" s="7" t="s">
        <v>241</v>
      </c>
      <c r="F57" s="7" t="s">
        <v>0</v>
      </c>
      <c r="G57" s="7" t="s">
        <v>239</v>
      </c>
      <c r="H57" s="7" t="s">
        <v>30</v>
      </c>
      <c r="I57" s="7" t="s">
        <v>242</v>
      </c>
      <c r="J57" s="7" t="s">
        <v>26</v>
      </c>
      <c r="K57" s="7" t="s">
        <v>0</v>
      </c>
      <c r="L57" s="8" t="e">
        <f t="shared" si="3"/>
        <v>#VALUE!</v>
      </c>
    </row>
    <row r="58" spans="1:12" x14ac:dyDescent="0.2">
      <c r="A58" s="6">
        <f t="shared" si="2"/>
        <v>52</v>
      </c>
      <c r="B58" s="7">
        <v>1</v>
      </c>
      <c r="C58" s="7" t="s">
        <v>243</v>
      </c>
      <c r="D58" s="7" t="s">
        <v>244</v>
      </c>
      <c r="E58" s="7" t="s">
        <v>245</v>
      </c>
      <c r="F58" s="7" t="s">
        <v>0</v>
      </c>
      <c r="G58" s="7" t="s">
        <v>243</v>
      </c>
      <c r="H58" s="7" t="s">
        <v>246</v>
      </c>
      <c r="I58" s="7" t="s">
        <v>247</v>
      </c>
      <c r="J58" s="7" t="s">
        <v>26</v>
      </c>
      <c r="K58" s="7" t="s">
        <v>0</v>
      </c>
      <c r="L58" s="8" t="e">
        <f t="shared" si="3"/>
        <v>#VALUE!</v>
      </c>
    </row>
    <row r="59" spans="1:12" x14ac:dyDescent="0.2">
      <c r="A59" s="6">
        <f t="shared" si="2"/>
        <v>53</v>
      </c>
      <c r="B59" s="7">
        <v>2</v>
      </c>
      <c r="C59" s="7" t="s">
        <v>248</v>
      </c>
      <c r="D59" s="7" t="s">
        <v>249</v>
      </c>
      <c r="E59" s="7" t="s">
        <v>250</v>
      </c>
      <c r="F59" s="7" t="s">
        <v>0</v>
      </c>
      <c r="G59" s="7" t="s">
        <v>248</v>
      </c>
      <c r="H59" s="7" t="s">
        <v>30</v>
      </c>
      <c r="I59" s="7" t="s">
        <v>251</v>
      </c>
      <c r="J59" s="7" t="s">
        <v>26</v>
      </c>
      <c r="K59" s="7" t="s">
        <v>0</v>
      </c>
      <c r="L59" s="8" t="e">
        <f t="shared" si="3"/>
        <v>#VALUE!</v>
      </c>
    </row>
    <row r="60" spans="1:12" x14ac:dyDescent="0.2">
      <c r="A60" s="6">
        <f t="shared" si="2"/>
        <v>54</v>
      </c>
      <c r="B60" s="7">
        <v>2</v>
      </c>
      <c r="C60" s="7" t="s">
        <v>252</v>
      </c>
      <c r="D60" s="7" t="s">
        <v>253</v>
      </c>
      <c r="E60" s="7" t="s">
        <v>254</v>
      </c>
      <c r="F60" s="7" t="s">
        <v>0</v>
      </c>
      <c r="G60" s="7" t="s">
        <v>252</v>
      </c>
      <c r="H60" s="7" t="s">
        <v>104</v>
      </c>
      <c r="I60" s="7" t="s">
        <v>255</v>
      </c>
      <c r="J60" s="7" t="s">
        <v>26</v>
      </c>
      <c r="K60" s="7" t="s">
        <v>0</v>
      </c>
      <c r="L60" s="8" t="e">
        <f t="shared" si="3"/>
        <v>#VALUE!</v>
      </c>
    </row>
    <row r="61" spans="1:12" x14ac:dyDescent="0.2">
      <c r="A61" s="6">
        <f t="shared" si="2"/>
        <v>55</v>
      </c>
      <c r="B61" s="7">
        <v>1</v>
      </c>
      <c r="C61" s="7" t="s">
        <v>256</v>
      </c>
      <c r="D61" s="7" t="s">
        <v>257</v>
      </c>
      <c r="E61" s="7" t="s">
        <v>258</v>
      </c>
      <c r="F61" s="7" t="s">
        <v>0</v>
      </c>
      <c r="G61" s="7" t="s">
        <v>256</v>
      </c>
      <c r="H61" s="7" t="s">
        <v>259</v>
      </c>
      <c r="I61" s="7" t="s">
        <v>260</v>
      </c>
      <c r="J61" s="7" t="s">
        <v>26</v>
      </c>
      <c r="K61" s="7" t="s">
        <v>0</v>
      </c>
      <c r="L61" s="8" t="e">
        <f t="shared" si="3"/>
        <v>#VALUE!</v>
      </c>
    </row>
    <row r="62" spans="1:12" x14ac:dyDescent="0.2">
      <c r="A62" s="6">
        <f t="shared" si="2"/>
        <v>56</v>
      </c>
      <c r="B62" s="7">
        <v>1</v>
      </c>
      <c r="C62" s="7" t="s">
        <v>261</v>
      </c>
      <c r="D62" s="7" t="s">
        <v>262</v>
      </c>
      <c r="E62" s="7" t="s">
        <v>263</v>
      </c>
      <c r="F62" s="7" t="s">
        <v>0</v>
      </c>
      <c r="G62" s="7" t="s">
        <v>261</v>
      </c>
      <c r="H62" s="7" t="s">
        <v>259</v>
      </c>
      <c r="I62" s="7" t="s">
        <v>264</v>
      </c>
      <c r="J62" s="7" t="s">
        <v>26</v>
      </c>
      <c r="K62" s="7" t="s">
        <v>0</v>
      </c>
      <c r="L62" s="8" t="e">
        <f t="shared" si="3"/>
        <v>#VALUE!</v>
      </c>
    </row>
    <row r="63" spans="1:12" x14ac:dyDescent="0.2">
      <c r="A63" s="6">
        <f t="shared" si="2"/>
        <v>57</v>
      </c>
      <c r="B63" s="7">
        <v>2</v>
      </c>
      <c r="C63" s="7" t="s">
        <v>265</v>
      </c>
      <c r="D63" s="7" t="s">
        <v>266</v>
      </c>
      <c r="E63" s="7" t="s">
        <v>267</v>
      </c>
      <c r="F63" s="7" t="s">
        <v>265</v>
      </c>
      <c r="G63" s="7" t="s">
        <v>268</v>
      </c>
      <c r="H63" s="7" t="s">
        <v>269</v>
      </c>
      <c r="I63" s="7" t="s">
        <v>270</v>
      </c>
      <c r="J63" s="7" t="s">
        <v>26</v>
      </c>
      <c r="K63" s="7" t="s">
        <v>0</v>
      </c>
      <c r="L63" s="8" t="e">
        <f t="shared" si="3"/>
        <v>#VALUE!</v>
      </c>
    </row>
    <row r="64" spans="1:12" x14ac:dyDescent="0.2">
      <c r="A64" s="6">
        <f t="shared" si="2"/>
        <v>58</v>
      </c>
      <c r="B64" s="11" t="e">
        <f>SUM(L7:L63)</f>
        <v>#VALUE!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</row>
  </sheetData>
  <mergeCells count="4">
    <mergeCell ref="A1:D5"/>
    <mergeCell ref="E1:E2"/>
    <mergeCell ref="F1:F2"/>
    <mergeCell ref="B64:L6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ColWidth="9" defaultRowHeight="14.25" customHeight="1" x14ac:dyDescent="0.15"/>
  <cols>
    <col min="1" max="1" width="23.625" customWidth="1"/>
    <col min="2" max="2" width="57.5" customWidth="1"/>
  </cols>
  <sheetData>
    <row r="1" spans="1:2" ht="14.25" customHeight="1" x14ac:dyDescent="0.2">
      <c r="A1" s="4" t="s">
        <v>271</v>
      </c>
      <c r="B1" s="4" t="s">
        <v>4</v>
      </c>
    </row>
    <row r="2" spans="1:2" ht="14.25" customHeight="1" x14ac:dyDescent="0.2">
      <c r="A2" s="4" t="s">
        <v>272</v>
      </c>
      <c r="B2" s="4" t="s">
        <v>273</v>
      </c>
    </row>
    <row r="3" spans="1:2" ht="14.25" customHeight="1" x14ac:dyDescent="0.2">
      <c r="A3" s="4" t="s">
        <v>274</v>
      </c>
      <c r="B3" s="4" t="s">
        <v>6</v>
      </c>
    </row>
    <row r="4" spans="1:2" ht="14.25" customHeight="1" x14ac:dyDescent="0.2">
      <c r="A4" s="4" t="s">
        <v>275</v>
      </c>
      <c r="B4" s="4" t="s">
        <v>276</v>
      </c>
    </row>
    <row r="5" spans="1:2" ht="14.25" customHeight="1" x14ac:dyDescent="0.2">
      <c r="A5" s="4" t="s">
        <v>277</v>
      </c>
      <c r="B5" s="4" t="s">
        <v>6</v>
      </c>
    </row>
    <row r="6" spans="1:2" ht="14.25" customHeight="1" x14ac:dyDescent="0.2">
      <c r="A6" s="4" t="s">
        <v>278</v>
      </c>
      <c r="B6" s="4">
        <v>115</v>
      </c>
    </row>
    <row r="7" spans="1:2" ht="14.25" customHeight="1" x14ac:dyDescent="0.2">
      <c r="A7" s="4" t="s">
        <v>279</v>
      </c>
      <c r="B7" s="4" t="s">
        <v>280</v>
      </c>
    </row>
    <row r="8" spans="1:2" ht="14.25" customHeight="1" x14ac:dyDescent="0.2">
      <c r="A8" s="4" t="s">
        <v>281</v>
      </c>
      <c r="B8" s="4" t="s">
        <v>282</v>
      </c>
    </row>
    <row r="9" spans="1:2" ht="14.25" customHeight="1" x14ac:dyDescent="0.2">
      <c r="A9" s="4" t="s">
        <v>283</v>
      </c>
      <c r="B9" s="4" t="s">
        <v>8</v>
      </c>
    </row>
    <row r="10" spans="1:2" ht="14.25" customHeight="1" x14ac:dyDescent="0.2">
      <c r="A10" s="4" t="s">
        <v>284</v>
      </c>
      <c r="B10" s="4" t="s">
        <v>2</v>
      </c>
    </row>
    <row r="11" spans="1:2" ht="14.25" customHeight="1" x14ac:dyDescent="0.2">
      <c r="A11" s="4" t="s">
        <v>285</v>
      </c>
      <c r="B11" s="4" t="s">
        <v>286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2025-09-02T08:07:04Z</dcterms:modified>
  <cp:category/>
</cp:coreProperties>
</file>